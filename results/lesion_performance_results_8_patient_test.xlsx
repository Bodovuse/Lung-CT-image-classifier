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5"/>
  </bookViews>
  <sheets>
    <sheet name="Slice classification" sheetId="1" r:id="rId1"/>
    <sheet name="Classifier per class" sheetId="2" r:id="rId2"/>
    <sheet name="Box detection" sheetId="3" r:id="rId3"/>
    <sheet name="Detector training history" sheetId="4" r:id="rId4"/>
    <sheet name="Definitions and sources" sheetId="5" r:id="rId5"/>
    <sheet name="F1 charts" sheetId="6" r:id="rId6"/>
  </sheets>
  <definedNames>
    <definedName name="_xlnm._FilterDatabase" localSheetId="1" hidden="1">'Classifier per class'!$A$1:$L$9</definedName>
    <definedName name="_xlnm._FilterDatabase" localSheetId="0" hidden="1">'Slice classification'!$A$1:$P$5</definedName>
  </definedNames>
  <calcPr calcId="124519" fullCalcOnLoad="1"/>
</workbook>
</file>

<file path=xl/sharedStrings.xml><?xml version="1.0" encoding="utf-8"?>
<sst xmlns="http://schemas.openxmlformats.org/spreadsheetml/2006/main" count="125" uniqueCount="67">
  <si>
    <t>Model</t>
  </si>
  <si>
    <t>Split</t>
  </si>
  <si>
    <t>Slices</t>
  </si>
  <si>
    <t>Patients</t>
  </si>
  <si>
    <t>TP</t>
  </si>
  <si>
    <t>FP</t>
  </si>
  <si>
    <t>TN</t>
  </si>
  <si>
    <t>FN</t>
  </si>
  <si>
    <t>Accuracy</t>
  </si>
  <si>
    <t>Balanced accuracy</t>
  </si>
  <si>
    <t>Sensitivity</t>
  </si>
  <si>
    <t>Specificity</t>
  </si>
  <si>
    <t>Precision</t>
  </si>
  <si>
    <t>Lesion-present F1</t>
  </si>
  <si>
    <t>Macro F1</t>
  </si>
  <si>
    <t>Weighted F1</t>
  </si>
  <si>
    <t>Frozen AlexNet + SVM</t>
  </si>
  <si>
    <t>Validation</t>
  </si>
  <si>
    <t>Test</t>
  </si>
  <si>
    <t>Frozen AlexNet + random forest</t>
  </si>
  <si>
    <t>Class</t>
  </si>
  <si>
    <t>F1</t>
  </si>
  <si>
    <t>Support</t>
  </si>
  <si>
    <t>val</t>
  </si>
  <si>
    <t>lesion_absent</t>
  </si>
  <si>
    <t>lesion_present</t>
  </si>
  <si>
    <t>test</t>
  </si>
  <si>
    <t>Score threshold</t>
  </si>
  <si>
    <t>IoU threshold</t>
  </si>
  <si>
    <t>Checkpoint epoch</t>
  </si>
  <si>
    <t>Trained AlexNet / Faster R-CNN</t>
  </si>
  <si>
    <t>N/A</t>
  </si>
  <si>
    <t>Epoch</t>
  </si>
  <si>
    <t>Training loss</t>
  </si>
  <si>
    <t>Validation TP</t>
  </si>
  <si>
    <t>Validation FP</t>
  </si>
  <si>
    <t>Validation FN</t>
  </si>
  <si>
    <t>Selected checkpoint</t>
  </si>
  <si>
    <t>Yes</t>
  </si>
  <si>
    <t>Item</t>
  </si>
  <si>
    <t>Definition / value</t>
  </si>
  <si>
    <t>Scope</t>
  </si>
  <si>
    <t>Pilot results only. Slice classification and box detection have different evaluation units and datasets; their F1 scores are not a like-for-like model ranking.</t>
  </si>
  <si>
    <t>Positive class</t>
  </si>
  <si>
    <t>lesion_present for slice classification; annotated lesion box for detection.</t>
  </si>
  <si>
    <t>TP / FP / TN / FN</t>
  </si>
  <si>
    <t>True positive / false positive / true negative / false negative. Box TP requires one-to-one matching with IoU &gt;= 0.5; duplicate or unmatched predicted boxes count as FP.</t>
  </si>
  <si>
    <t>TP / (TP + FN); also called recall.</t>
  </si>
  <si>
    <t>TN / (TN + FP). Not defined for lesion boxes; detector evaluation contains annotated slices only.</t>
  </si>
  <si>
    <t>TP / (TP + FP). Undefined ratios are recorded as 0 to match the saved evaluation.</t>
  </si>
  <si>
    <t>2 * TP / (2 * TP + FP + FN). Main charts use lesion-present F1 for classifiers and box F1 for detector.</t>
  </si>
  <si>
    <t>Macro / weighted F1</t>
  </si>
  <si>
    <t>Macro averages class F1 equally. Weighted F1 weights class F1 by support. These are included separately and are not lesion-present F1.</t>
  </si>
  <si>
    <t>Selection</t>
  </si>
  <si>
    <t>Best detector checkpoint: epoch 3, selected by validation F1. Test patients were excluded from training and checkpoint selection.</t>
  </si>
  <si>
    <t>Training</t>
  </si>
  <si>
    <t>10 complete epochs; epoch 11 interrupted. CPU; pretrained AlexNet backbone; 108 annotated training slices. Training stopped after a validation plateau.</t>
  </si>
  <si>
    <t>Classifier metrics source</t>
  </si>
  <si>
    <t>artifacts\classifier_comparison_check_20260906\metrics.json</t>
  </si>
  <si>
    <t>Detector validation source</t>
  </si>
  <si>
    <t>artifacts\detector_pilot_20260906\run_summary.json</t>
  </si>
  <si>
    <t>Detector test source</t>
  </si>
  <si>
    <t>artifacts\detector_pilot_20260906\test_evaluation\metrics.json</t>
  </si>
  <si>
    <t>Epoch history source</t>
  </si>
  <si>
    <t>artifacts\detector_pilot_20260906\lesion_detector.history.json</t>
  </si>
  <si>
    <t>Pilot F1 scores</t>
  </si>
  <si>
    <t>Different evaluation units: compare within each chart, not across tasks.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</si>
</sst>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17365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Slice classification: lesion-present F1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SVM</c:v>
          </c:tx>
          <c:dLbls>
            <c:numFmt formatCode="0.00%" sourceLinked="0"/>
            <c:showVal val="1"/>
          </c:dLbls>
          <c:cat>
            <c:strRef>
              <c:f>'Slice classification'!$B$2:$B$3</c:f>
              <c:strCache>
                <c:ptCount val="2"/>
                <c:pt idx="0">
                  <c:v>Validation</c:v>
                </c:pt>
                <c:pt idx="1">
                  <c:v>Test</c:v>
                </c:pt>
              </c:strCache>
            </c:strRef>
          </c:cat>
          <c:val>
            <c:numRef>
              <c:f>'Slice classification'!$N$2:$N$3</c:f>
              <c:numCache>
                <c:formatCode>General</c:formatCode>
                <c:ptCount val="2"/>
                <c:pt idx="0">
                  <c:v>0.0</c:v>
                </c:pt>
                <c:pt idx="1">
                  <c:v>0.0</c:v>
                </c:pt>
              </c:numCache>
            </c:numRef>
          </c:val>
        </c:ser>
        <c:ser>
          <c:idx val="1"/>
          <c:order val="1"/>
          <c:tx>
            <c:v>Random forest</c:v>
          </c:tx>
          <c:dLbls>
            <c:numFmt formatCode="0.00%" sourceLinked="0"/>
            <c:showVal val="1"/>
          </c:dLbls>
          <c:cat>
            <c:strRef>
              <c:f>'Slice classification'!$B$4:$B$5</c:f>
              <c:strCache>
                <c:ptCount val="2"/>
                <c:pt idx="0">
                  <c:v>Validation</c:v>
                </c:pt>
                <c:pt idx="1">
                  <c:v>Test</c:v>
                </c:pt>
              </c:strCache>
            </c:strRef>
          </c:cat>
          <c:val>
            <c:numRef>
              <c:f>'Slice classification'!$N$4:$N$5</c:f>
              <c:numCache>
                <c:formatCode>General</c:formatCode>
                <c:ptCount val="2"/>
                <c:pt idx="0">
                  <c:v>0.0</c:v>
                </c:pt>
                <c:pt idx="1">
                  <c:v>0.0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F1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Lesion box detection: F1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F1</c:v>
          </c:tx>
          <c:spPr>
            <a:solidFill>
              <a:srgbClr val="2878B5"/>
            </a:solidFill>
          </c:spPr>
          <c:dLbls>
            <c:numFmt formatCode="0.00%" sourceLinked="0"/>
            <c:showVal val="1"/>
          </c:dLbls>
          <c:cat>
            <c:strRef>
              <c:f>'Box detection'!$B$2:$B$3</c:f>
              <c:strCache>
                <c:ptCount val="2"/>
                <c:pt idx="0">
                  <c:v>Validation</c:v>
                </c:pt>
                <c:pt idx="1">
                  <c:v>Test</c:v>
                </c:pt>
              </c:strCache>
            </c:strRef>
          </c:cat>
          <c:val>
            <c:numRef>
              <c:f>'Box detection'!$K$2:$K$3</c:f>
              <c:numCache>
                <c:formatCode>General</c:formatCode>
                <c:ptCount val="2"/>
                <c:pt idx="0">
                  <c:v>0.4235294117647059</c:v>
                </c:pt>
                <c:pt idx="1">
                  <c:v>0.0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F1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Detector validation F1 by epoch (best: epoch 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Validation F1</c:v>
          </c:tx>
          <c:marker>
            <c:symbol val="circle"/>
            <c:size val="5"/>
          </c:marker>
          <c:cat>
            <c:numRef>
              <c:f>'Detector training history'!$A$2:$A$11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'Detector training history'!$H$2:$H$11</c:f>
              <c:numCache>
                <c:formatCode>General</c:formatCode>
                <c:ptCount val="10"/>
                <c:pt idx="0">
                  <c:v>0</c:v>
                </c:pt>
                <c:pt idx="1">
                  <c:v>0.25</c:v>
                </c:pt>
                <c:pt idx="2">
                  <c:v>0.4235294117647058</c:v>
                </c:pt>
                <c:pt idx="3">
                  <c:v>0.1090909090909091</c:v>
                </c:pt>
                <c:pt idx="4">
                  <c:v>0.06896551724137931</c:v>
                </c:pt>
                <c:pt idx="5">
                  <c:v>0.0851063829787234</c:v>
                </c:pt>
                <c:pt idx="6">
                  <c:v>0.1666666666666667</c:v>
                </c:pt>
                <c:pt idx="7">
                  <c:v>0.1694915254237288</c:v>
                </c:pt>
                <c:pt idx="8">
                  <c:v>0.2</c:v>
                </c:pt>
                <c:pt idx="9">
                  <c:v>0.1481481481481481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F1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9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</xdr:row>
      <xdr:rowOff>0</xdr:rowOff>
    </xdr:from>
    <xdr:to>
      <xdr:col>18</xdr:col>
      <xdr:colOff>0</xdr:colOff>
      <xdr:row>20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15</xdr:col>
      <xdr:colOff>0</xdr:colOff>
      <xdr:row>39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9.7109375" customWidth="1"/>
    <col min="2" max="16" width="17.7109375" customWidth="1"/>
  </cols>
  <sheetData>
    <row r="1" spans="1:16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200</v>
      </c>
      <c r="D2">
        <v>2</v>
      </c>
      <c r="E2">
        <v>0</v>
      </c>
      <c r="F2">
        <v>0</v>
      </c>
      <c r="G2">
        <v>169</v>
      </c>
      <c r="H2">
        <v>31</v>
      </c>
      <c r="I2" s="2">
        <v>0.845</v>
      </c>
      <c r="J2" s="2">
        <v>0.5</v>
      </c>
      <c r="K2" s="2">
        <v>0</v>
      </c>
      <c r="L2" s="2">
        <v>1</v>
      </c>
      <c r="M2" s="2">
        <v>0</v>
      </c>
      <c r="N2" s="2">
        <f>IFERROR(2*E2/(2*E2+F2+H2),0)</f>
        <v>0.0</v>
      </c>
      <c r="O2" s="2">
        <v>0.4579945799457995</v>
      </c>
      <c r="P2" s="2">
        <v>0.774010840108401</v>
      </c>
    </row>
    <row r="3" spans="1:16">
      <c r="A3" t="s">
        <v>16</v>
      </c>
      <c r="B3" t="s">
        <v>18</v>
      </c>
      <c r="C3">
        <v>169</v>
      </c>
      <c r="D3">
        <v>2</v>
      </c>
      <c r="E3">
        <v>0</v>
      </c>
      <c r="F3">
        <v>0</v>
      </c>
      <c r="G3">
        <v>162</v>
      </c>
      <c r="H3">
        <v>7</v>
      </c>
      <c r="I3" s="2">
        <v>0.9585798816568047</v>
      </c>
      <c r="J3" s="2">
        <v>0.5</v>
      </c>
      <c r="K3" s="2">
        <v>0</v>
      </c>
      <c r="L3" s="2">
        <v>1</v>
      </c>
      <c r="M3" s="2">
        <v>0</v>
      </c>
      <c r="N3" s="2">
        <f>IFERROR(2*E3/(2*E3+F3+H3),0)</f>
        <v>0.0</v>
      </c>
      <c r="O3" s="2">
        <v>0.4894259818731118</v>
      </c>
      <c r="P3" s="2">
        <v>0.9383077995673859</v>
      </c>
    </row>
    <row r="4" spans="1:16">
      <c r="A4" t="s">
        <v>19</v>
      </c>
      <c r="B4" t="s">
        <v>17</v>
      </c>
      <c r="C4">
        <v>200</v>
      </c>
      <c r="D4">
        <v>2</v>
      </c>
      <c r="E4">
        <v>0</v>
      </c>
      <c r="F4">
        <v>0</v>
      </c>
      <c r="G4">
        <v>169</v>
      </c>
      <c r="H4">
        <v>31</v>
      </c>
      <c r="I4" s="2">
        <v>0.845</v>
      </c>
      <c r="J4" s="2">
        <v>0.5</v>
      </c>
      <c r="K4" s="2">
        <v>0</v>
      </c>
      <c r="L4" s="2">
        <v>1</v>
      </c>
      <c r="M4" s="2">
        <v>0</v>
      </c>
      <c r="N4" s="2">
        <f>IFERROR(2*E4/(2*E4+F4+H4),0)</f>
        <v>0.0</v>
      </c>
      <c r="O4" s="2">
        <v>0.4579945799457995</v>
      </c>
      <c r="P4" s="2">
        <v>0.774010840108401</v>
      </c>
    </row>
    <row r="5" spans="1:16">
      <c r="A5" t="s">
        <v>19</v>
      </c>
      <c r="B5" t="s">
        <v>18</v>
      </c>
      <c r="C5">
        <v>169</v>
      </c>
      <c r="D5">
        <v>2</v>
      </c>
      <c r="E5">
        <v>0</v>
      </c>
      <c r="F5">
        <v>0</v>
      </c>
      <c r="G5">
        <v>162</v>
      </c>
      <c r="H5">
        <v>7</v>
      </c>
      <c r="I5" s="2">
        <v>0.9585798816568047</v>
      </c>
      <c r="J5" s="2">
        <v>0.5</v>
      </c>
      <c r="K5" s="2">
        <v>0</v>
      </c>
      <c r="L5" s="2">
        <v>1</v>
      </c>
      <c r="M5" s="2">
        <v>0</v>
      </c>
      <c r="N5" s="2">
        <f>IFERROR(2*E5/(2*E5+F5+H5),0)</f>
        <v>0.0</v>
      </c>
      <c r="O5" s="2">
        <v>0.4894259818731118</v>
      </c>
      <c r="P5" s="2">
        <v>0.9383077995673859</v>
      </c>
    </row>
  </sheetData>
  <autoFilter ref="A1:P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9.7109375" customWidth="1"/>
    <col min="2" max="12" width="17.7109375" customWidth="1"/>
  </cols>
  <sheetData>
    <row r="1" spans="1:12" ht="34" customHeight="1">
      <c r="A1" s="1" t="s">
        <v>0</v>
      </c>
      <c r="B1" s="1" t="s">
        <v>1</v>
      </c>
      <c r="C1" s="1" t="s">
        <v>20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21</v>
      </c>
      <c r="L1" s="1" t="s">
        <v>22</v>
      </c>
    </row>
    <row r="2" spans="1:12">
      <c r="A2" t="s">
        <v>16</v>
      </c>
      <c r="B2" t="s">
        <v>23</v>
      </c>
      <c r="C2" t="s">
        <v>24</v>
      </c>
      <c r="D2">
        <v>169</v>
      </c>
      <c r="E2">
        <v>31</v>
      </c>
      <c r="F2">
        <v>0</v>
      </c>
      <c r="G2">
        <v>0</v>
      </c>
      <c r="H2" s="2">
        <v>1</v>
      </c>
      <c r="I2" s="2">
        <v>0</v>
      </c>
      <c r="J2" s="2">
        <v>0.845</v>
      </c>
      <c r="K2" s="2">
        <v>0.9159891598915989</v>
      </c>
      <c r="L2">
        <v>169</v>
      </c>
    </row>
    <row r="3" spans="1:12">
      <c r="A3" t="s">
        <v>16</v>
      </c>
      <c r="B3" t="s">
        <v>23</v>
      </c>
      <c r="C3" t="s">
        <v>25</v>
      </c>
      <c r="D3">
        <v>0</v>
      </c>
      <c r="E3">
        <v>0</v>
      </c>
      <c r="F3">
        <v>169</v>
      </c>
      <c r="G3">
        <v>31</v>
      </c>
      <c r="H3" s="2">
        <v>0</v>
      </c>
      <c r="I3" s="2">
        <v>1</v>
      </c>
      <c r="J3" s="2">
        <v>0</v>
      </c>
      <c r="K3" s="2">
        <v>0</v>
      </c>
      <c r="L3">
        <v>31</v>
      </c>
    </row>
    <row r="4" spans="1:12">
      <c r="A4" t="s">
        <v>16</v>
      </c>
      <c r="B4" t="s">
        <v>26</v>
      </c>
      <c r="C4" t="s">
        <v>24</v>
      </c>
      <c r="D4">
        <v>162</v>
      </c>
      <c r="E4">
        <v>7</v>
      </c>
      <c r="F4">
        <v>0</v>
      </c>
      <c r="G4">
        <v>0</v>
      </c>
      <c r="H4" s="2">
        <v>1</v>
      </c>
      <c r="I4" s="2">
        <v>0</v>
      </c>
      <c r="J4" s="2">
        <v>0.9585798816568047</v>
      </c>
      <c r="K4" s="2">
        <v>0.9788519637462235</v>
      </c>
      <c r="L4">
        <v>162</v>
      </c>
    </row>
    <row r="5" spans="1:12">
      <c r="A5" t="s">
        <v>16</v>
      </c>
      <c r="B5" t="s">
        <v>26</v>
      </c>
      <c r="C5" t="s">
        <v>25</v>
      </c>
      <c r="D5">
        <v>0</v>
      </c>
      <c r="E5">
        <v>0</v>
      </c>
      <c r="F5">
        <v>162</v>
      </c>
      <c r="G5">
        <v>7</v>
      </c>
      <c r="H5" s="2">
        <v>0</v>
      </c>
      <c r="I5" s="2">
        <v>1</v>
      </c>
      <c r="J5" s="2">
        <v>0</v>
      </c>
      <c r="K5" s="2">
        <v>0</v>
      </c>
      <c r="L5">
        <v>7</v>
      </c>
    </row>
    <row r="6" spans="1:12">
      <c r="A6" t="s">
        <v>19</v>
      </c>
      <c r="B6" t="s">
        <v>23</v>
      </c>
      <c r="C6" t="s">
        <v>24</v>
      </c>
      <c r="D6">
        <v>169</v>
      </c>
      <c r="E6">
        <v>31</v>
      </c>
      <c r="F6">
        <v>0</v>
      </c>
      <c r="G6">
        <v>0</v>
      </c>
      <c r="H6" s="2">
        <v>1</v>
      </c>
      <c r="I6" s="2">
        <v>0</v>
      </c>
      <c r="J6" s="2">
        <v>0.845</v>
      </c>
      <c r="K6" s="2">
        <v>0.9159891598915989</v>
      </c>
      <c r="L6">
        <v>169</v>
      </c>
    </row>
    <row r="7" spans="1:12">
      <c r="A7" t="s">
        <v>19</v>
      </c>
      <c r="B7" t="s">
        <v>23</v>
      </c>
      <c r="C7" t="s">
        <v>25</v>
      </c>
      <c r="D7">
        <v>0</v>
      </c>
      <c r="E7">
        <v>0</v>
      </c>
      <c r="F7">
        <v>169</v>
      </c>
      <c r="G7">
        <v>31</v>
      </c>
      <c r="H7" s="2">
        <v>0</v>
      </c>
      <c r="I7" s="2">
        <v>1</v>
      </c>
      <c r="J7" s="2">
        <v>0</v>
      </c>
      <c r="K7" s="2">
        <v>0</v>
      </c>
      <c r="L7">
        <v>31</v>
      </c>
    </row>
    <row r="8" spans="1:12">
      <c r="A8" t="s">
        <v>19</v>
      </c>
      <c r="B8" t="s">
        <v>26</v>
      </c>
      <c r="C8" t="s">
        <v>24</v>
      </c>
      <c r="D8">
        <v>162</v>
      </c>
      <c r="E8">
        <v>7</v>
      </c>
      <c r="F8">
        <v>0</v>
      </c>
      <c r="G8">
        <v>0</v>
      </c>
      <c r="H8" s="2">
        <v>1</v>
      </c>
      <c r="I8" s="2">
        <v>0</v>
      </c>
      <c r="J8" s="2">
        <v>0.9585798816568047</v>
      </c>
      <c r="K8" s="2">
        <v>0.9788519637462235</v>
      </c>
      <c r="L8">
        <v>162</v>
      </c>
    </row>
    <row r="9" spans="1:12">
      <c r="A9" t="s">
        <v>19</v>
      </c>
      <c r="B9" t="s">
        <v>26</v>
      </c>
      <c r="C9" t="s">
        <v>25</v>
      </c>
      <c r="D9">
        <v>0</v>
      </c>
      <c r="E9">
        <v>0</v>
      </c>
      <c r="F9">
        <v>162</v>
      </c>
      <c r="G9">
        <v>7</v>
      </c>
      <c r="H9" s="2">
        <v>0</v>
      </c>
      <c r="I9" s="2">
        <v>1</v>
      </c>
      <c r="J9" s="2">
        <v>0</v>
      </c>
      <c r="K9" s="2">
        <v>0</v>
      </c>
      <c r="L9">
        <v>7</v>
      </c>
    </row>
  </sheetData>
  <autoFilter ref="A1:L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9.7109375" customWidth="1"/>
    <col min="2" max="15" width="17.7109375" customWidth="1"/>
  </cols>
  <sheetData>
    <row r="1" spans="1:15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12</v>
      </c>
      <c r="K1" s="1" t="s">
        <v>21</v>
      </c>
      <c r="L1" s="1" t="s">
        <v>11</v>
      </c>
      <c r="M1" s="1" t="s">
        <v>27</v>
      </c>
      <c r="N1" s="1" t="s">
        <v>28</v>
      </c>
      <c r="O1" s="1" t="s">
        <v>29</v>
      </c>
    </row>
    <row r="2" spans="1:15">
      <c r="A2" t="s">
        <v>30</v>
      </c>
      <c r="B2" t="s">
        <v>17</v>
      </c>
      <c r="C2">
        <v>31</v>
      </c>
      <c r="D2">
        <v>2</v>
      </c>
      <c r="E2">
        <v>18</v>
      </c>
      <c r="F2">
        <v>36</v>
      </c>
      <c r="G2" t="s">
        <v>31</v>
      </c>
      <c r="H2">
        <v>13</v>
      </c>
      <c r="I2" s="2">
        <v>0.5806451612903226</v>
      </c>
      <c r="J2" s="2">
        <v>0.3333333333333333</v>
      </c>
      <c r="K2" s="2">
        <f>IFERROR(2*E2/(2*E2+F2+H2),0)</f>
        <v>0.4235294117647059</v>
      </c>
      <c r="L2" t="s">
        <v>31</v>
      </c>
      <c r="M2">
        <v>0.5</v>
      </c>
      <c r="N2">
        <v>0.5</v>
      </c>
      <c r="O2">
        <v>3</v>
      </c>
    </row>
    <row r="3" spans="1:15">
      <c r="A3" t="s">
        <v>30</v>
      </c>
      <c r="B3" t="s">
        <v>18</v>
      </c>
      <c r="C3">
        <v>7</v>
      </c>
      <c r="D3">
        <v>2</v>
      </c>
      <c r="E3">
        <v>0</v>
      </c>
      <c r="F3">
        <v>0</v>
      </c>
      <c r="G3" t="s">
        <v>31</v>
      </c>
      <c r="H3">
        <v>7</v>
      </c>
      <c r="I3" s="2">
        <v>0</v>
      </c>
      <c r="J3" s="2">
        <v>0</v>
      </c>
      <c r="K3" s="2">
        <f>IFERROR(2*E3/(2*E3+F3+H3),0)</f>
        <v>0.0</v>
      </c>
      <c r="L3" t="s">
        <v>31</v>
      </c>
      <c r="M3">
        <v>0.5</v>
      </c>
      <c r="N3">
        <v>0.5</v>
      </c>
      <c r="O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9.7109375" customWidth="1"/>
    <col min="2" max="9" width="17.7109375" customWidth="1"/>
  </cols>
  <sheetData>
    <row r="1" spans="1:9" ht="34" customHeigh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12</v>
      </c>
      <c r="G1" s="1" t="s">
        <v>10</v>
      </c>
      <c r="H1" s="1" t="s">
        <v>21</v>
      </c>
      <c r="I1" s="1" t="s">
        <v>37</v>
      </c>
    </row>
    <row r="2" spans="1:9">
      <c r="A2">
        <v>1</v>
      </c>
      <c r="B2">
        <v>0.3269934563173188</v>
      </c>
      <c r="C2">
        <v>0</v>
      </c>
      <c r="D2">
        <v>0</v>
      </c>
      <c r="E2">
        <v>31</v>
      </c>
      <c r="F2" s="2">
        <v>0</v>
      </c>
      <c r="G2" s="2">
        <v>0</v>
      </c>
      <c r="H2" s="2">
        <v>0</v>
      </c>
    </row>
    <row r="3" spans="1:9">
      <c r="A3">
        <v>2</v>
      </c>
      <c r="B3">
        <v>0.1144304260680521</v>
      </c>
      <c r="C3">
        <v>8</v>
      </c>
      <c r="D3">
        <v>25</v>
      </c>
      <c r="E3">
        <v>23</v>
      </c>
      <c r="F3" s="2">
        <v>0.2424242424242424</v>
      </c>
      <c r="G3" s="2">
        <v>0.2580645161290323</v>
      </c>
      <c r="H3" s="2">
        <v>0.25</v>
      </c>
    </row>
    <row r="4" spans="1:9">
      <c r="A4">
        <v>3</v>
      </c>
      <c r="B4">
        <v>0.09600812134643395</v>
      </c>
      <c r="C4">
        <v>18</v>
      </c>
      <c r="D4">
        <v>36</v>
      </c>
      <c r="E4">
        <v>13</v>
      </c>
      <c r="F4" s="2">
        <v>0.3333333333333333</v>
      </c>
      <c r="G4" s="2">
        <v>0.5806451612903226</v>
      </c>
      <c r="H4" s="2">
        <v>0.4235294117647058</v>
      </c>
      <c r="I4" t="s">
        <v>38</v>
      </c>
    </row>
    <row r="5" spans="1:9">
      <c r="A5">
        <v>4</v>
      </c>
      <c r="B5">
        <v>0.084074715566304</v>
      </c>
      <c r="C5">
        <v>3</v>
      </c>
      <c r="D5">
        <v>21</v>
      </c>
      <c r="E5">
        <v>28</v>
      </c>
      <c r="F5" s="2">
        <v>0.125</v>
      </c>
      <c r="G5" s="2">
        <v>0.09677419354838709</v>
      </c>
      <c r="H5" s="2">
        <v>0.1090909090909091</v>
      </c>
    </row>
    <row r="6" spans="1:9">
      <c r="A6">
        <v>5</v>
      </c>
      <c r="B6">
        <v>0.0731443909721242</v>
      </c>
      <c r="C6">
        <v>2</v>
      </c>
      <c r="D6">
        <v>25</v>
      </c>
      <c r="E6">
        <v>29</v>
      </c>
      <c r="F6" s="2">
        <v>0.07407407407407407</v>
      </c>
      <c r="G6" s="2">
        <v>0.06451612903225806</v>
      </c>
      <c r="H6" s="2">
        <v>0.06896551724137931</v>
      </c>
    </row>
    <row r="7" spans="1:9">
      <c r="A7">
        <v>6</v>
      </c>
      <c r="B7">
        <v>0.06839569933988431</v>
      </c>
      <c r="C7">
        <v>2</v>
      </c>
      <c r="D7">
        <v>14</v>
      </c>
      <c r="E7">
        <v>29</v>
      </c>
      <c r="F7" s="2">
        <v>0.125</v>
      </c>
      <c r="G7" s="2">
        <v>0.06451612903225806</v>
      </c>
      <c r="H7" s="2">
        <v>0.0851063829787234</v>
      </c>
    </row>
    <row r="8" spans="1:9">
      <c r="A8">
        <v>7</v>
      </c>
      <c r="B8">
        <v>0.05774844893150859</v>
      </c>
      <c r="C8">
        <v>4</v>
      </c>
      <c r="D8">
        <v>13</v>
      </c>
      <c r="E8">
        <v>27</v>
      </c>
      <c r="F8" s="2">
        <v>0.2352941176470588</v>
      </c>
      <c r="G8" s="2">
        <v>0.1290322580645161</v>
      </c>
      <c r="H8" s="2">
        <v>0.1666666666666667</v>
      </c>
    </row>
    <row r="9" spans="1:9">
      <c r="A9">
        <v>8</v>
      </c>
      <c r="B9">
        <v>0.06546869570458377</v>
      </c>
      <c r="C9">
        <v>5</v>
      </c>
      <c r="D9">
        <v>23</v>
      </c>
      <c r="E9">
        <v>26</v>
      </c>
      <c r="F9" s="2">
        <v>0.1785714285714286</v>
      </c>
      <c r="G9" s="2">
        <v>0.1612903225806452</v>
      </c>
      <c r="H9" s="2">
        <v>0.1694915254237288</v>
      </c>
    </row>
    <row r="10" spans="1:9">
      <c r="A10">
        <v>9</v>
      </c>
      <c r="B10">
        <v>0.05850410047504637</v>
      </c>
      <c r="C10">
        <v>6</v>
      </c>
      <c r="D10">
        <v>23</v>
      </c>
      <c r="E10">
        <v>25</v>
      </c>
      <c r="F10" s="2">
        <v>0.2068965517241379</v>
      </c>
      <c r="G10" s="2">
        <v>0.1935483870967742</v>
      </c>
      <c r="H10" s="2">
        <v>0.2</v>
      </c>
    </row>
    <row r="11" spans="1:9">
      <c r="A11">
        <v>10</v>
      </c>
      <c r="B11">
        <v>0.05542202293872833</v>
      </c>
      <c r="C11">
        <v>4</v>
      </c>
      <c r="D11">
        <v>19</v>
      </c>
      <c r="E11">
        <v>27</v>
      </c>
      <c r="F11" s="2">
        <v>0.1739130434782609</v>
      </c>
      <c r="G11" s="2">
        <v>0.1290322580645161</v>
      </c>
      <c r="H11" s="2">
        <v>0.1481481481481481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9.7109375" customWidth="1"/>
    <col min="2" max="2" width="110.7109375" customWidth="1"/>
  </cols>
  <sheetData>
    <row r="1" spans="1:2" ht="34" customHeight="1">
      <c r="A1" s="1" t="s">
        <v>39</v>
      </c>
      <c r="B1" s="1" t="s">
        <v>40</v>
      </c>
    </row>
    <row r="2" spans="1:2" ht="44" customHeight="1">
      <c r="A2" s="3" t="s">
        <v>41</v>
      </c>
      <c r="B2" s="3" t="s">
        <v>42</v>
      </c>
    </row>
    <row r="3" spans="1:2" ht="44" customHeight="1">
      <c r="A3" s="3" t="s">
        <v>43</v>
      </c>
      <c r="B3" s="3" t="s">
        <v>44</v>
      </c>
    </row>
    <row r="4" spans="1:2" ht="44" customHeight="1">
      <c r="A4" s="3" t="s">
        <v>45</v>
      </c>
      <c r="B4" s="3" t="s">
        <v>46</v>
      </c>
    </row>
    <row r="5" spans="1:2" ht="44" customHeight="1">
      <c r="A5" s="3" t="s">
        <v>10</v>
      </c>
      <c r="B5" s="3" t="s">
        <v>47</v>
      </c>
    </row>
    <row r="6" spans="1:2" ht="44" customHeight="1">
      <c r="A6" s="3" t="s">
        <v>11</v>
      </c>
      <c r="B6" s="3" t="s">
        <v>48</v>
      </c>
    </row>
    <row r="7" spans="1:2" ht="44" customHeight="1">
      <c r="A7" s="3" t="s">
        <v>12</v>
      </c>
      <c r="B7" s="3" t="s">
        <v>49</v>
      </c>
    </row>
    <row r="8" spans="1:2" ht="44" customHeight="1">
      <c r="A8" s="3" t="s">
        <v>21</v>
      </c>
      <c r="B8" s="3" t="s">
        <v>50</v>
      </c>
    </row>
    <row r="9" spans="1:2" ht="44" customHeight="1">
      <c r="A9" s="3" t="s">
        <v>51</v>
      </c>
      <c r="B9" s="3" t="s">
        <v>52</v>
      </c>
    </row>
    <row r="10" spans="1:2" ht="44" customHeight="1">
      <c r="A10" s="3" t="s">
        <v>53</v>
      </c>
      <c r="B10" s="3" t="s">
        <v>54</v>
      </c>
    </row>
    <row r="11" spans="1:2" ht="44" customHeight="1">
      <c r="A11" s="3" t="s">
        <v>55</v>
      </c>
      <c r="B11" s="3" t="s">
        <v>56</v>
      </c>
    </row>
    <row r="12" spans="1:2" ht="44" customHeight="1">
      <c r="A12" s="3" t="s">
        <v>57</v>
      </c>
      <c r="B12" s="3" t="s">
        <v>58</v>
      </c>
    </row>
    <row r="13" spans="1:2" ht="44" customHeight="1">
      <c r="A13" s="3" t="s">
        <v>59</v>
      </c>
      <c r="B13" s="3" t="s">
        <v>60</v>
      </c>
    </row>
    <row r="14" spans="1:2" ht="44" customHeight="1">
      <c r="A14" s="3" t="s">
        <v>61</v>
      </c>
      <c r="B14" s="3" t="s">
        <v>62</v>
      </c>
    </row>
    <row r="15" spans="1:2" ht="44" customHeight="1">
      <c r="A15" s="3" t="s">
        <v>63</v>
      </c>
      <c r="B15" s="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4" t="s">
        <v>65</v>
      </c>
    </row>
    <row r="2" spans="1:1">
      <c r="A2" t="s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Slice classification</vt:lpstr>
      <vt:lpstr>Classifier per class</vt:lpstr>
      <vt:lpstr>Box detection</vt:lpstr>
      <vt:lpstr>Detector training history</vt:lpstr>
      <vt:lpstr>Definitions and sources</vt:lpstr>
      <vt:lpstr>F1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2026-09-06T16:07:19Z</dcterms:created>
  <dcterms:modified xsi:type="dcterms:W3CDTF">2026-09-06T16:07:19Z</dcterms:modified>
</cp:coreProperties>
</file>