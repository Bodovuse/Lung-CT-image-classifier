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s" sheetId="1" r:id="rId1"/>
    <sheet name="Lesion performance" sheetId="2" r:id="rId2"/>
    <sheet name="Both classes" sheetId="3" r:id="rId3"/>
    <sheet name="Chart data" sheetId="4" r:id="rId4"/>
    <sheet name="Source and definitions" sheetId="5" r:id="rId5"/>
  </sheets>
  <calcPr calcId="124519" fullCalcOnLoad="1"/>
</workbook>
</file>

<file path=xl/sharedStrings.xml><?xml version="1.0" encoding="utf-8"?>
<sst xmlns="http://schemas.openxmlformats.org/spreadsheetml/2006/main" count="101" uniqueCount="54">
  <si>
    <t>Full dataset | Lesion classification performance</t>
  </si>
  <si>
    <t>CT slice evaluation; positive class: lesion_present. Patient split: 220 training / 47 validation / 47 test. All scores use the completed full-dataset run.</t>
  </si>
  <si>
    <t>Classifier</t>
  </si>
  <si>
    <t>Split</t>
  </si>
  <si>
    <t>Slices</t>
  </si>
  <si>
    <t>Patients</t>
  </si>
  <si>
    <t>TP</t>
  </si>
  <si>
    <t>FP</t>
  </si>
  <si>
    <t>TN</t>
  </si>
  <si>
    <t>FN</t>
  </si>
  <si>
    <t>Accuracy</t>
  </si>
  <si>
    <t>Balanced accuracy</t>
  </si>
  <si>
    <t>Sensitivity</t>
  </si>
  <si>
    <t>Specificity</t>
  </si>
  <si>
    <t>Precision</t>
  </si>
  <si>
    <t>Lesion-present F1</t>
  </si>
  <si>
    <t>Macro F1</t>
  </si>
  <si>
    <t>Weighted F1</t>
  </si>
  <si>
    <t>SVM</t>
  </si>
  <si>
    <t>Validation</t>
  </si>
  <si>
    <t>Test</t>
  </si>
  <si>
    <t>Random Forest</t>
  </si>
  <si>
    <t>Class</t>
  </si>
  <si>
    <t>Support</t>
  </si>
  <si>
    <t>F1</t>
  </si>
  <si>
    <t>lesion_absent</t>
  </si>
  <si>
    <t>lesion_present</t>
  </si>
  <si>
    <t>Classifier / split</t>
  </si>
  <si>
    <t>SVM | Validation</t>
  </si>
  <si>
    <t>SVM | Test</t>
  </si>
  <si>
    <t>Random Forest | Validation</t>
  </si>
  <si>
    <t>Random Forest | Test</t>
  </si>
  <si>
    <t>Source</t>
  </si>
  <si>
    <t>artifacts\full_classification_70pct_20260906\comparison\metrics.json</t>
  </si>
  <si>
    <t>Run</t>
  </si>
  <si>
    <t>full_classification_70pct_20260906; completed. 70pct denotes the training patient split.</t>
  </si>
  <si>
    <t>Pipeline</t>
  </si>
  <si>
    <t>CT preparation -&gt; AlexNet fine-tuning -&gt; SVM / Random Forest classification</t>
  </si>
  <si>
    <t>Evaluation unit</t>
  </si>
  <si>
    <t>CT slice. These are lesion presence classification metrics, not object detection or segmentation metrics.</t>
  </si>
  <si>
    <t>Training</t>
  </si>
  <si>
    <t>122,519 slices; 220 patients. Validation: 26,482 slices / 47 patients. Test: 30,304 slices / 47 patients.</t>
  </si>
  <si>
    <t>Positive class</t>
  </si>
  <si>
    <t>lesion_present; TP, FP, TN and FN on the Lesion performance sheet use this positive class.</t>
  </si>
  <si>
    <t>2*TP / (2*TP + FP + FN). Exact source counts used; no rounded text metrics used.</t>
  </si>
  <si>
    <t>TP / (TP + FN); also called recall.</t>
  </si>
  <si>
    <t>TN / (TN + FP).</t>
  </si>
  <si>
    <t>TP / (TP + FP).</t>
  </si>
  <si>
    <t>(TP + TN) / (TP + FP + TN + FN).</t>
  </si>
  <si>
    <t>Mean of sensitivity and specificity.</t>
  </si>
  <si>
    <t>Macro / weighted F1</t>
  </si>
  <si>
    <t>Macro F1 averages both class F1 scores equally; weighted F1 weights by class support.</t>
  </si>
  <si>
    <t>Scope</t>
  </si>
  <si>
    <t>Full-dataset run after the pipeline dataset eligibility rules; validation and test are reported separately.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</si>
</sst>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Lesion-present F1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Lesion-present F1</c:v>
                </c:pt>
              </c:strCache>
            </c:strRef>
          </c:tx>
          <c:spPr>
            <a:solidFill>
              <a:srgbClr val="2878A5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data'!$B$2:$B$5</c:f>
              <c:numCache>
                <c:formatCode>General</c:formatCode>
                <c:ptCount val="4"/>
                <c:pt idx="0">
                  <c:v>0.49087534797401794</c:v>
                </c:pt>
                <c:pt idx="1">
                  <c:v>0.6105094263939029</c:v>
                </c:pt>
                <c:pt idx="2">
                  <c:v>0.42862495316597976</c:v>
                </c:pt>
                <c:pt idx="3">
                  <c:v>0.559163867114595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Lesion precision, sensitivity and specificity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data'!$C$1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2878A5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data'!$C$2:$C$5</c:f>
              <c:numCache>
                <c:formatCode>General</c:formatCode>
                <c:ptCount val="4"/>
                <c:pt idx="0">
                  <c:v>0.6179906542056075</c:v>
                </c:pt>
                <c:pt idx="1">
                  <c:v>0.6532188841201717</c:v>
                </c:pt>
                <c:pt idx="2">
                  <c:v>0.7944444444444444</c:v>
                </c:pt>
                <c:pt idx="3">
                  <c:v>0.8245871559633028</c:v>
                </c:pt>
              </c:numCache>
            </c:numRef>
          </c:val>
        </c:ser>
        <c:ser>
          <c:idx val="1"/>
          <c:order val="1"/>
          <c:tx>
            <c:strRef>
              <c:f>'Chart data'!$D$1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rgbClr val="E58B37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data'!$D$2:$D$5</c:f>
              <c:numCache>
                <c:formatCode>General</c:formatCode>
                <c:ptCount val="4"/>
                <c:pt idx="0">
                  <c:v>0.40713186249358646</c:v>
                </c:pt>
                <c:pt idx="1">
                  <c:v>0.5730421686746988</c:v>
                </c:pt>
                <c:pt idx="2">
                  <c:v>0.2934838378655721</c:v>
                </c:pt>
                <c:pt idx="3">
                  <c:v>0.42300451807228917</c:v>
                </c:pt>
              </c:numCache>
            </c:numRef>
          </c:val>
        </c:ser>
        <c:ser>
          <c:idx val="2"/>
          <c:order val="2"/>
          <c:tx>
            <c:strRef>
              <c:f>'Chart data'!$E$1</c:f>
              <c:strCache>
                <c:ptCount val="1"/>
                <c:pt idx="0">
                  <c:v>Specificity</c:v>
                </c:pt>
              </c:strCache>
            </c:strRef>
          </c:tx>
          <c:spPr>
            <a:solidFill>
              <a:srgbClr val="38917E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data'!$E$2:$E$5</c:f>
              <c:numCache>
                <c:formatCode>General</c:formatCode>
                <c:ptCount val="4"/>
                <c:pt idx="0">
                  <c:v>0.9565621679064825</c:v>
                </c:pt>
                <c:pt idx="1">
                  <c:v>0.9353393085787451</c:v>
                </c:pt>
                <c:pt idx="2">
                  <c:v>0.9868933758413035</c:v>
                </c:pt>
                <c:pt idx="3">
                  <c:v>0.9808738796414853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and balanced accuracy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2878A5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data'!$F$2:$F$5</c:f>
              <c:numCache>
                <c:formatCode>General</c:formatCode>
                <c:ptCount val="4"/>
                <c:pt idx="0">
                  <c:v>0.8756891473453666</c:v>
                </c:pt>
                <c:pt idx="1">
                  <c:v>0.871832101372756</c:v>
                </c:pt>
                <c:pt idx="2">
                  <c:v>0.8848274299524205</c:v>
                </c:pt>
                <c:pt idx="3">
                  <c:v>0.8830847412882787</c:v>
                </c:pt>
              </c:numCache>
            </c:numRef>
          </c:val>
        </c:ser>
        <c:ser>
          <c:idx val="1"/>
          <c:order val="1"/>
          <c:tx>
            <c:strRef>
              <c:f>'Chart data'!$G$1</c:f>
              <c:strCache>
                <c:ptCount val="1"/>
                <c:pt idx="0">
                  <c:v>Balanced accuracy</c:v>
                </c:pt>
              </c:strCache>
            </c:strRef>
          </c:tx>
          <c:spPr>
            <a:solidFill>
              <a:srgbClr val="E58B37"/>
            </a:solidFill>
          </c:spPr>
          <c:dLbls>
            <c:numFmt formatCode="0.0%" sourceLinked="0"/>
            <c:showVal val="1"/>
          </c:dLbls>
          <c:cat>
            <c:strRef>
              <c:f>'Chart data'!$A$2:$A$5</c:f>
              <c:strCache>
                <c:ptCount val="4"/>
                <c:pt idx="0">
                  <c:v>SVM | Validation</c:v>
                </c:pt>
                <c:pt idx="1">
                  <c:v>SVM | Test</c:v>
                </c:pt>
                <c:pt idx="2">
                  <c:v>Random Forest | Validation</c:v>
                </c:pt>
                <c:pt idx="3">
                  <c:v>Random Forest | Test</c:v>
                </c:pt>
              </c:strCache>
            </c:strRef>
          </c:cat>
          <c:val>
            <c:numRef>
              <c:f>'Chart data'!$G$2:$G$5</c:f>
              <c:numCache>
                <c:formatCode>General</c:formatCode>
                <c:ptCount val="4"/>
                <c:pt idx="0">
                  <c:v>0.6818470152000344</c:v>
                </c:pt>
                <c:pt idx="1">
                  <c:v>0.7541907386267219</c:v>
                </c:pt>
                <c:pt idx="2">
                  <c:v>0.6401886068534378</c:v>
                </c:pt>
                <c:pt idx="3">
                  <c:v>0.7019391988568873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581025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15</xdr:col>
      <xdr:colOff>581025</xdr:colOff>
      <xdr:row>21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581025</xdr:colOff>
      <xdr:row>38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5" totalsRowShown="0">
  <autoFilter ref="A1:P5"/>
  <tableColumns count="16">
    <tableColumn id="1" name="Classifier"/>
    <tableColumn id="2" name="Split"/>
    <tableColumn id="3" name="Slices"/>
    <tableColumn id="4" name="Patients"/>
    <tableColumn id="5" name="TP"/>
    <tableColumn id="6" name="FP"/>
    <tableColumn id="7" name="TN"/>
    <tableColumn id="8" name="FN"/>
    <tableColumn id="9" name="Accuracy"/>
    <tableColumn id="10" name="Balanced accuracy"/>
    <tableColumn id="11" name="Sensitivity"/>
    <tableColumn id="12" name="Specificity"/>
    <tableColumn id="13" name="Precision"/>
    <tableColumn id="14" name="Lesion-present F1"/>
    <tableColumn id="15" name="Macro F1"/>
    <tableColumn id="16" name="Weighted F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9" totalsRowShown="0">
  <autoFilter ref="A1:L9"/>
  <tableColumns count="12">
    <tableColumn id="1" name="Classifier"/>
    <tableColumn id="2" name="Split"/>
    <tableColumn id="3" name="Class"/>
    <tableColumn id="4" name="Support"/>
    <tableColumn id="5" name="TP"/>
    <tableColumn id="6" name="FP"/>
    <tableColumn id="7" name="TN"/>
    <tableColumn id="8" name="FN"/>
    <tableColumn id="9" name="Precision"/>
    <tableColumn id="10" name="Sensitivity"/>
    <tableColumn id="11" name="Specificity"/>
    <tableColumn id="12" name="F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showGridLines="0" tabSelected="1" workbookViewId="0"/>
  </sheetViews>
  <sheetFormatPr defaultRowHeight="15"/>
  <cols>
    <col min="1" max="16" width="11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2"/>
    <mergeCell ref="A3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  <col min="3" max="8" width="12.7109375" customWidth="1"/>
    <col min="9" max="16" width="21.7109375" style="3" customWidth="1"/>
  </cols>
  <sheetData>
    <row r="1" spans="1:1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</row>
    <row r="2" spans="1:16">
      <c r="A2" t="s">
        <v>18</v>
      </c>
      <c r="B2" t="s">
        <v>19</v>
      </c>
      <c r="C2">
        <v>26482</v>
      </c>
      <c r="D2">
        <v>47</v>
      </c>
      <c r="E2">
        <v>1587</v>
      </c>
      <c r="F2">
        <v>981</v>
      </c>
      <c r="G2">
        <v>21603</v>
      </c>
      <c r="H2">
        <v>2311</v>
      </c>
      <c r="I2" s="3">
        <v>0.8756891473453666</v>
      </c>
      <c r="J2" s="3">
        <v>0.6818470152000344</v>
      </c>
      <c r="K2" s="3">
        <v>0.4071318624935865</v>
      </c>
      <c r="L2" s="3">
        <v>0.9565621679064825</v>
      </c>
      <c r="M2" s="3">
        <v>0.6179906542056075</v>
      </c>
      <c r="N2" s="3">
        <f>2*E2/(2*E2+F2+H2)</f>
        <v>0.49087534797401794</v>
      </c>
      <c r="O2" s="3">
        <v>0.7100383019710083</v>
      </c>
      <c r="P2" s="3">
        <v>0.8646821717084813</v>
      </c>
    </row>
    <row r="3" spans="1:16">
      <c r="A3" t="s">
        <v>18</v>
      </c>
      <c r="B3" t="s">
        <v>20</v>
      </c>
      <c r="C3">
        <v>30304</v>
      </c>
      <c r="D3">
        <v>47</v>
      </c>
      <c r="E3">
        <v>3044</v>
      </c>
      <c r="F3">
        <v>1616</v>
      </c>
      <c r="G3">
        <v>23376</v>
      </c>
      <c r="H3">
        <v>2268</v>
      </c>
      <c r="I3" s="3">
        <v>0.871832101372756</v>
      </c>
      <c r="J3" s="3">
        <v>0.7541907386267219</v>
      </c>
      <c r="K3" s="3">
        <v>0.5730421686746988</v>
      </c>
      <c r="L3" s="3">
        <v>0.9353393085787451</v>
      </c>
      <c r="M3" s="3">
        <v>0.6532188841201717</v>
      </c>
      <c r="N3" s="3">
        <f>2*E3/(2*E3+F3+H3)</f>
        <v>0.6105094263939029</v>
      </c>
      <c r="O3" s="3">
        <v>0.7669025526787431</v>
      </c>
      <c r="P3" s="3">
        <v>0.8684672545427101</v>
      </c>
    </row>
    <row r="4" spans="1:16">
      <c r="A4" t="s">
        <v>21</v>
      </c>
      <c r="B4" t="s">
        <v>19</v>
      </c>
      <c r="C4">
        <v>26482</v>
      </c>
      <c r="D4">
        <v>47</v>
      </c>
      <c r="E4">
        <v>1144</v>
      </c>
      <c r="F4">
        <v>296</v>
      </c>
      <c r="G4">
        <v>22288</v>
      </c>
      <c r="H4">
        <v>2754</v>
      </c>
      <c r="I4" s="3">
        <v>0.8848274299524205</v>
      </c>
      <c r="J4" s="3">
        <v>0.6401886068534378</v>
      </c>
      <c r="K4" s="3">
        <v>0.2934838378655721</v>
      </c>
      <c r="L4" s="3">
        <v>0.9868933758413035</v>
      </c>
      <c r="M4" s="3">
        <v>0.7944444444444444</v>
      </c>
      <c r="N4" s="3">
        <f>2*E4/(2*E4+F4+H4)</f>
        <v>0.42862495316597976</v>
      </c>
      <c r="O4" s="3">
        <v>0.6822921515504446</v>
      </c>
      <c r="P4" s="3">
        <v>0.8612826080496558</v>
      </c>
    </row>
    <row r="5" spans="1:16">
      <c r="A5" t="s">
        <v>21</v>
      </c>
      <c r="B5" t="s">
        <v>20</v>
      </c>
      <c r="C5">
        <v>30304</v>
      </c>
      <c r="D5">
        <v>47</v>
      </c>
      <c r="E5">
        <v>2247</v>
      </c>
      <c r="F5">
        <v>478</v>
      </c>
      <c r="G5">
        <v>24514</v>
      </c>
      <c r="H5">
        <v>3065</v>
      </c>
      <c r="I5" s="3">
        <v>0.8830847412882787</v>
      </c>
      <c r="J5" s="3">
        <v>0.7019391988568873</v>
      </c>
      <c r="K5" s="3">
        <v>0.4230045180722892</v>
      </c>
      <c r="L5" s="3">
        <v>0.9808738796414853</v>
      </c>
      <c r="M5" s="3">
        <v>0.8245871559633028</v>
      </c>
      <c r="N5" s="3">
        <f>2*E5/(2*E5+F5+H5)</f>
        <v>0.559163867114595</v>
      </c>
      <c r="O5" s="3">
        <v>0.7458846479815999</v>
      </c>
      <c r="P5" s="3">
        <v>0.8671447115858322</v>
      </c>
    </row>
  </sheetData>
  <conditionalFormatting sqref="I2:P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20.7109375" customWidth="1"/>
    <col min="4" max="8" width="12.7109375" customWidth="1"/>
    <col min="9" max="12" width="18.7109375" style="3" customWidth="1"/>
  </cols>
  <sheetData>
    <row r="1" spans="1:12">
      <c r="A1" t="s">
        <v>2</v>
      </c>
      <c r="B1" t="s">
        <v>3</v>
      </c>
      <c r="C1" t="s">
        <v>22</v>
      </c>
      <c r="D1" t="s">
        <v>23</v>
      </c>
      <c r="E1" t="s">
        <v>6</v>
      </c>
      <c r="F1" t="s">
        <v>7</v>
      </c>
      <c r="G1" t="s">
        <v>8</v>
      </c>
      <c r="H1" t="s">
        <v>9</v>
      </c>
      <c r="I1" s="3" t="s">
        <v>14</v>
      </c>
      <c r="J1" s="3" t="s">
        <v>12</v>
      </c>
      <c r="K1" s="3" t="s">
        <v>13</v>
      </c>
      <c r="L1" s="3" t="s">
        <v>24</v>
      </c>
    </row>
    <row r="2" spans="1:12">
      <c r="A2" t="s">
        <v>18</v>
      </c>
      <c r="B2" t="s">
        <v>19</v>
      </c>
      <c r="C2" t="s">
        <v>25</v>
      </c>
      <c r="D2">
        <v>22584</v>
      </c>
      <c r="E2">
        <v>21603</v>
      </c>
      <c r="F2">
        <v>2311</v>
      </c>
      <c r="G2">
        <v>1587</v>
      </c>
      <c r="H2">
        <v>981</v>
      </c>
      <c r="I2" s="3">
        <v>0.9033620473362883</v>
      </c>
      <c r="J2" s="3">
        <v>0.9565621679064825</v>
      </c>
      <c r="K2" s="3">
        <v>0.4071318624935865</v>
      </c>
      <c r="L2" s="3">
        <v>0.9292012559679986</v>
      </c>
    </row>
    <row r="3" spans="1:12">
      <c r="A3" t="s">
        <v>18</v>
      </c>
      <c r="B3" t="s">
        <v>19</v>
      </c>
      <c r="C3" t="s">
        <v>26</v>
      </c>
      <c r="D3">
        <v>3898</v>
      </c>
      <c r="E3">
        <v>1587</v>
      </c>
      <c r="F3">
        <v>981</v>
      </c>
      <c r="G3">
        <v>21603</v>
      </c>
      <c r="H3">
        <v>2311</v>
      </c>
      <c r="I3" s="3">
        <v>0.6179906542056075</v>
      </c>
      <c r="J3" s="3">
        <v>0.4071318624935865</v>
      </c>
      <c r="K3" s="3">
        <v>0.9565621679064825</v>
      </c>
      <c r="L3" s="3">
        <v>0.4908753479740179</v>
      </c>
    </row>
    <row r="4" spans="1:12">
      <c r="A4" t="s">
        <v>18</v>
      </c>
      <c r="B4" t="s">
        <v>20</v>
      </c>
      <c r="C4" t="s">
        <v>25</v>
      </c>
      <c r="D4">
        <v>24992</v>
      </c>
      <c r="E4">
        <v>23376</v>
      </c>
      <c r="F4">
        <v>2268</v>
      </c>
      <c r="G4">
        <v>3044</v>
      </c>
      <c r="H4">
        <v>1616</v>
      </c>
      <c r="I4" s="3">
        <v>0.9115582592419279</v>
      </c>
      <c r="J4" s="3">
        <v>0.9353393085787451</v>
      </c>
      <c r="K4" s="3">
        <v>0.5730421686746988</v>
      </c>
      <c r="L4" s="3">
        <v>0.9232956789635832</v>
      </c>
    </row>
    <row r="5" spans="1:12">
      <c r="A5" t="s">
        <v>18</v>
      </c>
      <c r="B5" t="s">
        <v>20</v>
      </c>
      <c r="C5" t="s">
        <v>26</v>
      </c>
      <c r="D5">
        <v>5312</v>
      </c>
      <c r="E5">
        <v>3044</v>
      </c>
      <c r="F5">
        <v>1616</v>
      </c>
      <c r="G5">
        <v>23376</v>
      </c>
      <c r="H5">
        <v>2268</v>
      </c>
      <c r="I5" s="3">
        <v>0.6532188841201717</v>
      </c>
      <c r="J5" s="3">
        <v>0.5730421686746988</v>
      </c>
      <c r="K5" s="3">
        <v>0.9353393085787451</v>
      </c>
      <c r="L5" s="3">
        <v>0.6105094263939029</v>
      </c>
    </row>
    <row r="6" spans="1:12">
      <c r="A6" t="s">
        <v>21</v>
      </c>
      <c r="B6" t="s">
        <v>19</v>
      </c>
      <c r="C6" t="s">
        <v>25</v>
      </c>
      <c r="D6">
        <v>22584</v>
      </c>
      <c r="E6">
        <v>22288</v>
      </c>
      <c r="F6">
        <v>2754</v>
      </c>
      <c r="G6">
        <v>1144</v>
      </c>
      <c r="H6">
        <v>296</v>
      </c>
      <c r="I6" s="3">
        <v>0.8900247584058781</v>
      </c>
      <c r="J6" s="3">
        <v>0.9868933758413035</v>
      </c>
      <c r="K6" s="3">
        <v>0.2934838378655721</v>
      </c>
      <c r="L6" s="3">
        <v>0.9359593499349095</v>
      </c>
    </row>
    <row r="7" spans="1:12">
      <c r="A7" t="s">
        <v>21</v>
      </c>
      <c r="B7" t="s">
        <v>19</v>
      </c>
      <c r="C7" t="s">
        <v>26</v>
      </c>
      <c r="D7">
        <v>3898</v>
      </c>
      <c r="E7">
        <v>1144</v>
      </c>
      <c r="F7">
        <v>296</v>
      </c>
      <c r="G7">
        <v>22288</v>
      </c>
      <c r="H7">
        <v>2754</v>
      </c>
      <c r="I7" s="3">
        <v>0.7944444444444444</v>
      </c>
      <c r="J7" s="3">
        <v>0.2934838378655721</v>
      </c>
      <c r="K7" s="3">
        <v>0.9868933758413035</v>
      </c>
      <c r="L7" s="3">
        <v>0.4286249531659798</v>
      </c>
    </row>
    <row r="8" spans="1:12">
      <c r="A8" t="s">
        <v>21</v>
      </c>
      <c r="B8" t="s">
        <v>20</v>
      </c>
      <c r="C8" t="s">
        <v>25</v>
      </c>
      <c r="D8">
        <v>24992</v>
      </c>
      <c r="E8">
        <v>24514</v>
      </c>
      <c r="F8">
        <v>3065</v>
      </c>
      <c r="G8">
        <v>2247</v>
      </c>
      <c r="H8">
        <v>478</v>
      </c>
      <c r="I8" s="3">
        <v>0.8888647159070308</v>
      </c>
      <c r="J8" s="3">
        <v>0.9808738796414853</v>
      </c>
      <c r="K8" s="3">
        <v>0.4230045180722892</v>
      </c>
      <c r="L8" s="3">
        <v>0.9326054288486048</v>
      </c>
    </row>
    <row r="9" spans="1:12">
      <c r="A9" t="s">
        <v>21</v>
      </c>
      <c r="B9" t="s">
        <v>20</v>
      </c>
      <c r="C9" t="s">
        <v>26</v>
      </c>
      <c r="D9">
        <v>5312</v>
      </c>
      <c r="E9">
        <v>2247</v>
      </c>
      <c r="F9">
        <v>478</v>
      </c>
      <c r="G9">
        <v>24514</v>
      </c>
      <c r="H9">
        <v>3065</v>
      </c>
      <c r="I9" s="3">
        <v>0.8245871559633028</v>
      </c>
      <c r="J9" s="3">
        <v>0.4230045180722892</v>
      </c>
      <c r="K9" s="3">
        <v>0.9808738796414853</v>
      </c>
      <c r="L9" s="3">
        <v>0.559163867114595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8.7109375" customWidth="1"/>
    <col min="2" max="7" width="21.7109375" style="3" customWidth="1"/>
  </cols>
  <sheetData>
    <row r="1" spans="1:7">
      <c r="A1" t="s">
        <v>27</v>
      </c>
      <c r="B1" s="3" t="s">
        <v>15</v>
      </c>
      <c r="C1" s="3" t="s">
        <v>14</v>
      </c>
      <c r="D1" s="3" t="s">
        <v>12</v>
      </c>
      <c r="E1" s="3" t="s">
        <v>13</v>
      </c>
      <c r="F1" s="3" t="s">
        <v>10</v>
      </c>
      <c r="G1" s="3" t="s">
        <v>11</v>
      </c>
    </row>
    <row r="2" spans="1:7">
      <c r="A2" t="s">
        <v>28</v>
      </c>
      <c r="B2" s="3">
        <f>'Lesion performance'!N2</f>
        <v>0.49087534797401794</v>
      </c>
      <c r="C2" s="3">
        <f>'Lesion performance'!M2</f>
        <v>0.6179906542056075</v>
      </c>
      <c r="D2" s="3">
        <f>'Lesion performance'!K2</f>
        <v>0.40713186249358646</v>
      </c>
      <c r="E2" s="3">
        <f>'Lesion performance'!L2</f>
        <v>0.9565621679064825</v>
      </c>
      <c r="F2" s="3">
        <f>'Lesion performance'!I2</f>
        <v>0.8756891473453666</v>
      </c>
      <c r="G2" s="3">
        <f>'Lesion performance'!J2</f>
        <v>0.6818470152000344</v>
      </c>
    </row>
    <row r="3" spans="1:7">
      <c r="A3" t="s">
        <v>29</v>
      </c>
      <c r="B3" s="3">
        <f>'Lesion performance'!N3</f>
        <v>0.6105094263939029</v>
      </c>
      <c r="C3" s="3">
        <f>'Lesion performance'!M3</f>
        <v>0.6532188841201717</v>
      </c>
      <c r="D3" s="3">
        <f>'Lesion performance'!K3</f>
        <v>0.5730421686746988</v>
      </c>
      <c r="E3" s="3">
        <f>'Lesion performance'!L3</f>
        <v>0.9353393085787451</v>
      </c>
      <c r="F3" s="3">
        <f>'Lesion performance'!I3</f>
        <v>0.871832101372756</v>
      </c>
      <c r="G3" s="3">
        <f>'Lesion performance'!J3</f>
        <v>0.7541907386267219</v>
      </c>
    </row>
    <row r="4" spans="1:7">
      <c r="A4" t="s">
        <v>30</v>
      </c>
      <c r="B4" s="3">
        <f>'Lesion performance'!N4</f>
        <v>0.42862495316597976</v>
      </c>
      <c r="C4" s="3">
        <f>'Lesion performance'!M4</f>
        <v>0.7944444444444444</v>
      </c>
      <c r="D4" s="3">
        <f>'Lesion performance'!K4</f>
        <v>0.2934838378655721</v>
      </c>
      <c r="E4" s="3">
        <f>'Lesion performance'!L4</f>
        <v>0.9868933758413035</v>
      </c>
      <c r="F4" s="3">
        <f>'Lesion performance'!I4</f>
        <v>0.8848274299524205</v>
      </c>
      <c r="G4" s="3">
        <f>'Lesion performance'!J4</f>
        <v>0.6401886068534378</v>
      </c>
    </row>
    <row r="5" spans="1:7">
      <c r="A5" t="s">
        <v>31</v>
      </c>
      <c r="B5" s="3">
        <f>'Lesion performance'!N5</f>
        <v>0.559163867114595</v>
      </c>
      <c r="C5" s="3">
        <f>'Lesion performance'!M5</f>
        <v>0.8245871559633028</v>
      </c>
      <c r="D5" s="3">
        <f>'Lesion performance'!K5</f>
        <v>0.42300451807228917</v>
      </c>
      <c r="E5" s="3">
        <f>'Lesion performance'!L5</f>
        <v>0.9808738796414853</v>
      </c>
      <c r="F5" s="3">
        <f>'Lesion performance'!I5</f>
        <v>0.8830847412882787</v>
      </c>
      <c r="G5" s="3">
        <f>'Lesion performance'!J5</f>
        <v>0.7019391988568873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.7109375" customWidth="1"/>
    <col min="2" max="2" width="115.7109375" style="2" customWidth="1"/>
  </cols>
  <sheetData>
    <row r="1" spans="1:2" ht="32" customHeight="1">
      <c r="A1" t="s">
        <v>32</v>
      </c>
      <c r="B1" s="2" t="s">
        <v>33</v>
      </c>
    </row>
    <row r="2" spans="1:2" ht="32" customHeight="1">
      <c r="A2" t="s">
        <v>34</v>
      </c>
      <c r="B2" s="2" t="s">
        <v>35</v>
      </c>
    </row>
    <row r="3" spans="1:2" ht="32" customHeight="1">
      <c r="A3" t="s">
        <v>36</v>
      </c>
      <c r="B3" s="2" t="s">
        <v>37</v>
      </c>
    </row>
    <row r="4" spans="1:2" ht="32" customHeight="1">
      <c r="A4" t="s">
        <v>38</v>
      </c>
      <c r="B4" s="2" t="s">
        <v>39</v>
      </c>
    </row>
    <row r="5" spans="1:2" ht="32" customHeight="1">
      <c r="A5" t="s">
        <v>40</v>
      </c>
      <c r="B5" s="2" t="s">
        <v>41</v>
      </c>
    </row>
    <row r="6" spans="1:2" ht="32" customHeight="1">
      <c r="A6" t="s">
        <v>42</v>
      </c>
      <c r="B6" s="2" t="s">
        <v>43</v>
      </c>
    </row>
    <row r="7" spans="1:2" ht="32" customHeight="1">
      <c r="A7" t="s">
        <v>24</v>
      </c>
      <c r="B7" s="2" t="s">
        <v>44</v>
      </c>
    </row>
    <row r="8" spans="1:2" ht="32" customHeight="1">
      <c r="A8" t="s">
        <v>12</v>
      </c>
      <c r="B8" s="2" t="s">
        <v>45</v>
      </c>
    </row>
    <row r="9" spans="1:2" ht="32" customHeight="1">
      <c r="A9" t="s">
        <v>13</v>
      </c>
      <c r="B9" s="2" t="s">
        <v>46</v>
      </c>
    </row>
    <row r="10" spans="1:2" ht="32" customHeight="1">
      <c r="A10" t="s">
        <v>14</v>
      </c>
      <c r="B10" s="2" t="s">
        <v>47</v>
      </c>
    </row>
    <row r="11" spans="1:2" ht="32" customHeight="1">
      <c r="A11" t="s">
        <v>10</v>
      </c>
      <c r="B11" s="2" t="s">
        <v>48</v>
      </c>
    </row>
    <row r="12" spans="1:2" ht="32" customHeight="1">
      <c r="A12" t="s">
        <v>11</v>
      </c>
      <c r="B12" s="2" t="s">
        <v>49</v>
      </c>
    </row>
    <row r="13" spans="1:2" ht="32" customHeight="1">
      <c r="A13" t="s">
        <v>50</v>
      </c>
      <c r="B13" s="2" t="s">
        <v>51</v>
      </c>
    </row>
    <row r="14" spans="1:2" ht="32" customHeight="1">
      <c r="A14" t="s">
        <v>52</v>
      </c>
      <c r="B14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</vt:lpstr>
      <vt:lpstr>Lesion performance</vt:lpstr>
      <vt:lpstr>Both classes</vt:lpstr>
      <vt:lpstr>Chart data</vt:lpstr>
      <vt:lpstr>Source and 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2026-09-10T10:19:49Z</dcterms:created>
  <dcterms:modified xsi:type="dcterms:W3CDTF">2026-09-10T10:19:49Z</dcterms:modified>
</cp:coreProperties>
</file>